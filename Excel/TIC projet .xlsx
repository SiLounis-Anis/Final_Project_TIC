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3740432e9c779/Desktop/"/>
    </mc:Choice>
  </mc:AlternateContent>
  <xr:revisionPtr revIDLastSave="0" documentId="8_{4F673905-B59D-4C3D-8762-35B5BC33DBDE}" xr6:coauthVersionLast="47" xr6:coauthVersionMax="47" xr10:uidLastSave="{00000000-0000-0000-0000-000000000000}"/>
  <bookViews>
    <workbookView xWindow="-108" yWindow="-108" windowWidth="23256" windowHeight="13176" xr2:uid="{91DEC519-1032-47F4-B6CB-DE178FA580CF}"/>
  </bookViews>
  <sheets>
    <sheet name="Q1" sheetId="1" r:id="rId1"/>
    <sheet name="Table1" sheetId="3" r:id="rId2"/>
    <sheet name="Table2" sheetId="4" r:id="rId3"/>
    <sheet name="Table3" sheetId="5" r:id="rId4"/>
    <sheet name="Q3" sheetId="2" r:id="rId5"/>
    <sheet name="Q4" sheetId="6" r:id="rId6"/>
  </sheets>
  <definedNames>
    <definedName name="_xlcn.WorksheetConnection_Q1A2C421" hidden="1">'Q1'!$A$2:$C$42</definedName>
  </definedNames>
  <calcPr calcId="191029"/>
  <pivotCaches>
    <pivotCache cacheId="24" r:id="rId7"/>
    <pivotCache cacheId="36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Q1!$A$2:$C$4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2" i="6"/>
  <c r="G20" i="2"/>
  <c r="G19" i="2"/>
  <c r="G17" i="2"/>
  <c r="G4" i="2"/>
  <c r="G3" i="2"/>
  <c r="G5" i="2"/>
  <c r="G6" i="2"/>
  <c r="G7" i="2"/>
  <c r="G8" i="2"/>
  <c r="G9" i="2"/>
  <c r="G10" i="2"/>
  <c r="G11" i="2"/>
  <c r="G12" i="2"/>
  <c r="G13" i="2"/>
  <c r="G14" i="2"/>
  <c r="G15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C518BB-CA59-483C-8B0E-648BE344CC2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3A6EDD5-607C-41E7-A0CB-1A01FB1B8F2A}" name="WorksheetConnection_Q1!$A$2:$C$4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Q1A2C421"/>
        </x15:connection>
      </ext>
    </extLst>
  </connection>
</connections>
</file>

<file path=xl/sharedStrings.xml><?xml version="1.0" encoding="utf-8"?>
<sst xmlns="http://schemas.openxmlformats.org/spreadsheetml/2006/main" count="137" uniqueCount="36">
  <si>
    <t>Ivy League Applicants</t>
  </si>
  <si>
    <t>Students</t>
  </si>
  <si>
    <t>Faculty</t>
  </si>
  <si>
    <t>University</t>
  </si>
  <si>
    <t>Arts</t>
  </si>
  <si>
    <t>Yale</t>
  </si>
  <si>
    <t>Physics</t>
  </si>
  <si>
    <t>Brown</t>
  </si>
  <si>
    <t>Economics</t>
  </si>
  <si>
    <t>Dartmouth</t>
  </si>
  <si>
    <t>Harvard</t>
  </si>
  <si>
    <t>Columbia</t>
  </si>
  <si>
    <t>Cornell</t>
  </si>
  <si>
    <t>Mathematics</t>
  </si>
  <si>
    <t>Princeton</t>
  </si>
  <si>
    <t>Psychology</t>
  </si>
  <si>
    <t>Penn State</t>
  </si>
  <si>
    <t>Sum of Students</t>
  </si>
  <si>
    <t>Row Labels</t>
  </si>
  <si>
    <t>Grand Total</t>
  </si>
  <si>
    <t>Column Labels</t>
  </si>
  <si>
    <t>Average of Students2</t>
  </si>
  <si>
    <t>ID</t>
  </si>
  <si>
    <t>PU</t>
  </si>
  <si>
    <t>QTE</t>
  </si>
  <si>
    <t>PT</t>
  </si>
  <si>
    <t>Remise</t>
  </si>
  <si>
    <t>Val Remise</t>
  </si>
  <si>
    <t>Total a payer</t>
  </si>
  <si>
    <t>TTC:</t>
  </si>
  <si>
    <t>Val TVA:</t>
  </si>
  <si>
    <t>TVA:</t>
  </si>
  <si>
    <t>Total facture:</t>
  </si>
  <si>
    <t>Time(s)</t>
  </si>
  <si>
    <t xml:space="preserve">Distance (m) </t>
  </si>
  <si>
    <t>Speed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</si>
</sst>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\ [$د.ج.‏-1401]_-;\-* #,##0.00\ [$د.ج.‏-1401]_-;_-* &quot;-&quot;??\ [$د.ج.‏-1401]_-;_-@_-"/>
  </numFmts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b/>
      <sz val="18"/>
      <color theme="0"/>
      <name val="Calibri Bold"/>
    </font>
    <font>
      <b/>
      <sz val="14"/>
      <color theme="0"/>
      <name val="Calibri Bold"/>
    </font>
    <font>
      <b/>
      <sz val="14"/>
      <color theme="0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1" fontId="2" fillId="3" borderId="0" xfId="1" applyNumberFormat="1" applyFont="1" applyFill="1" applyAlignment="1">
      <alignment horizontal="center"/>
    </xf>
    <xf numFmtId="0" fontId="2" fillId="3" borderId="0" xfId="1" applyFont="1" applyFill="1"/>
    <xf numFmtId="1" fontId="2" fillId="4" borderId="0" xfId="1" applyNumberFormat="1" applyFont="1" applyFill="1" applyAlignment="1">
      <alignment horizontal="center"/>
    </xf>
    <xf numFmtId="0" fontId="2" fillId="4" borderId="0" xfId="1" applyFont="1" applyFill="1"/>
    <xf numFmtId="0" fontId="3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5" fillId="2" borderId="0" xfId="0" applyFont="1" applyFill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5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165" fontId="0" fillId="0" borderId="3" xfId="0" applyNumberFormat="1" applyBorder="1" applyAlignment="1">
      <alignment horizontal="right"/>
    </xf>
    <xf numFmtId="165" fontId="0" fillId="6" borderId="3" xfId="0" applyNumberFormat="1" applyFill="1" applyBorder="1" applyAlignment="1">
      <alignment horizontal="right"/>
    </xf>
    <xf numFmtId="165" fontId="0" fillId="6" borderId="4" xfId="0" applyNumberFormat="1" applyFill="1" applyBorder="1" applyAlignment="1">
      <alignment horizontal="right"/>
    </xf>
    <xf numFmtId="165" fontId="0" fillId="0" borderId="3" xfId="0" applyNumberFormat="1" applyBorder="1"/>
    <xf numFmtId="165" fontId="0" fillId="6" borderId="3" xfId="0" applyNumberFormat="1" applyFill="1" applyBorder="1"/>
    <xf numFmtId="165" fontId="0" fillId="6" borderId="4" xfId="0" applyNumberFormat="1" applyFill="1" applyBorder="1"/>
    <xf numFmtId="9" fontId="0" fillId="0" borderId="3" xfId="0" applyNumberFormat="1" applyBorder="1" applyAlignment="1">
      <alignment horizontal="center"/>
    </xf>
    <xf numFmtId="9" fontId="0" fillId="6" borderId="3" xfId="0" applyNumberFormat="1" applyFill="1" applyBorder="1" applyAlignment="1">
      <alignment horizontal="center"/>
    </xf>
    <xf numFmtId="9" fontId="0" fillId="6" borderId="4" xfId="0" applyNumberFormat="1" applyFill="1" applyBorder="1" applyAlignment="1">
      <alignment horizontal="center"/>
    </xf>
    <xf numFmtId="165" fontId="0" fillId="0" borderId="5" xfId="0" applyNumberFormat="1" applyBorder="1"/>
    <xf numFmtId="10" fontId="0" fillId="0" borderId="5" xfId="0" applyNumberFormat="1" applyBorder="1"/>
    <xf numFmtId="165" fontId="0" fillId="0" borderId="1" xfId="0" applyNumberFormat="1" applyBorder="1"/>
    <xf numFmtId="165" fontId="6" fillId="6" borderId="1" xfId="0" applyNumberFormat="1" applyFont="1" applyFill="1" applyBorder="1"/>
    <xf numFmtId="0" fontId="8" fillId="7" borderId="2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</cellXfs>
  <cellStyles count="2">
    <cellStyle name="Normal" xfId="0" builtinId="0"/>
    <cellStyle name="Normal 2" xfId="1" xr:uid="{B47FDFB9-41BE-45BD-A401-9393946923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Speed/time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'Q4'!$C$1</c:f>
              <c:strCache>
                <c:ptCount val="1"/>
                <c:pt idx="0">
                  <c:v>Speed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'Q4'!$A$2:$A$11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'Q4'!$C$2:$C$11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5.666666666666667</c:v>
                </c:pt>
                <c:pt idx="3">
                  <c:v>6.75</c:v>
                </c:pt>
                <c:pt idx="4">
                  <c:v>7.4</c:v>
                </c:pt>
                <c:pt idx="5">
                  <c:v>8.1666666666666661</c:v>
                </c:pt>
                <c:pt idx="6">
                  <c:v>9</c:v>
                </c:pt>
                <c:pt idx="7">
                  <c:v>9.375</c:v>
                </c:pt>
                <c:pt idx="8">
                  <c:v>9.2222222222222214</c:v>
                </c:pt>
                <c:pt idx="9">
                  <c:v>9.1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A7-4D63-8B2B-93A26DD0A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921888"/>
        <c:axId val="1974923328"/>
      </c:scatterChart>
      <c:valAx>
        <c:axId val="1974921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923328"/>
        <c:crosses val="autoZero"/>
        <c:crossBetween val="midCat"/>
      </c:valAx>
      <c:valAx>
        <c:axId val="19749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921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Speed/Distnace</a:t>
            </a:r>
            <a:endParaRPr lang="en-US"/>
          </a:p>
        </c:rich>
      </c:tx>
      <c:layout>
        <c:manualLayout>
          <c:xMode val="edge"/>
          <c:yMode val="edge"/>
          <c:x val="0.38967344706911639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'Q4'!$C$1</c:f>
              <c:strCache>
                <c:ptCount val="1"/>
                <c:pt idx="0">
                  <c:v>Speed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'Q4'!$B$2:$B$11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17</c:v>
                </c:pt>
                <c:pt idx="3">
                  <c:v>27</c:v>
                </c:pt>
                <c:pt idx="4">
                  <c:v>37</c:v>
                </c:pt>
                <c:pt idx="5">
                  <c:v>49</c:v>
                </c:pt>
                <c:pt idx="6">
                  <c:v>63</c:v>
                </c:pt>
                <c:pt idx="7">
                  <c:v>75</c:v>
                </c:pt>
                <c:pt idx="8">
                  <c:v>83</c:v>
                </c:pt>
                <c:pt idx="9">
                  <c:v>91</c:v>
                </c:pt>
              </c:numCache>
            </c:numRef>
          </c:xVal>
          <c:yVal>
            <c:numRef>
              <c:f>'Q4'!$C$2:$C$11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5.666666666666667</c:v>
                </c:pt>
                <c:pt idx="3">
                  <c:v>6.75</c:v>
                </c:pt>
                <c:pt idx="4">
                  <c:v>7.4</c:v>
                </c:pt>
                <c:pt idx="5">
                  <c:v>8.1666666666666661</c:v>
                </c:pt>
                <c:pt idx="6">
                  <c:v>9</c:v>
                </c:pt>
                <c:pt idx="7">
                  <c:v>9.375</c:v>
                </c:pt>
                <c:pt idx="8">
                  <c:v>9.2222222222222214</c:v>
                </c:pt>
                <c:pt idx="9">
                  <c:v>9.1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AE-4A88-9534-93D7B0C85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523616"/>
        <c:axId val="1782520736"/>
      </c:scatterChart>
      <c:valAx>
        <c:axId val="178252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20736"/>
        <c:crosses val="autoZero"/>
        <c:crossBetween val="midCat"/>
      </c:valAx>
      <c:valAx>
        <c:axId val="178252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52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5</xdr:row>
      <xdr:rowOff>53340</xdr:rowOff>
    </xdr:from>
    <xdr:to>
      <xdr:col>12</xdr:col>
      <xdr:colOff>167640</xdr:colOff>
      <xdr:row>19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0E3A93-87E3-EA20-34A3-8F3DC37BF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274320</xdr:colOff>
      <xdr:row>20</xdr:row>
      <xdr:rowOff>106680</xdr:rowOff>
    </xdr:from>
    <xdr:to>
      <xdr:col>11</xdr:col>
      <xdr:colOff>579120</xdr:colOff>
      <xdr:row>35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16759D-D45D-EFB2-E984-AC0D0666B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jabe" refreshedDate="46017.922488657408" createdVersion="8" refreshedVersion="8" minRefreshableVersion="3" recordCount="40" xr:uid="{F2B02BAF-A326-4956-9E74-510E9D4E9A23}">
  <cacheSource type="worksheet">
    <worksheetSource ref="A2:C42" sheet="Q1"/>
  </cacheSource>
  <cacheFields count="3">
    <cacheField name="Students" numFmtId="1">
      <sharedItems containsSemiMixedTypes="0" containsString="0" containsNumber="1" containsInteger="1" minValue="135" maxValue="9567" count="37">
        <n v="591"/>
        <n v="9567"/>
        <n v="542"/>
        <n v="346"/>
        <n v="849"/>
        <n v="552"/>
        <n v="173"/>
        <n v="1355"/>
        <n v="193"/>
        <n v="615"/>
        <n v="1579"/>
        <n v="547"/>
        <n v="1687"/>
        <n v="972"/>
        <n v="234"/>
        <n v="151"/>
        <n v="1793"/>
        <n v="315"/>
        <n v="618"/>
        <n v="246"/>
        <n v="784"/>
        <n v="316"/>
        <n v="3155"/>
        <n v="318"/>
        <n v="608"/>
        <n v="561"/>
        <n v="357"/>
        <n v="1688"/>
        <n v="568"/>
        <n v="632"/>
        <n v="551"/>
        <n v="948"/>
        <n v="1358"/>
        <n v="135"/>
        <n v="158"/>
        <n v="1889"/>
        <n v="651"/>
      </sharedItems>
    </cacheField>
    <cacheField name="Faculty" numFmtId="0">
      <sharedItems count="5">
        <s v="Arts"/>
        <s v="Physics"/>
        <s v="Economics"/>
        <s v="Mathematics"/>
        <s v="Psychology"/>
      </sharedItems>
    </cacheField>
    <cacheField name="University" numFmtId="0">
      <sharedItems count="8">
        <s v="Yale"/>
        <s v="Brown"/>
        <s v="Dartmouth"/>
        <s v="Harvard"/>
        <s v="Columbia"/>
        <s v="Cornell"/>
        <s v="Princeton"/>
        <s v="Penn St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jabe" refreshedDate="46017.959221296296" backgroundQuery="1" createdVersion="8" refreshedVersion="8" minRefreshableVersion="3" recordCount="0" supportSubquery="1" supportAdvancedDrill="1" xr:uid="{700EE978-EF77-4DEE-8826-80151987CB9E}">
  <cacheSource type="external" connectionId="1"/>
  <cacheFields count="3">
    <cacheField name="[Measures].[Sum of Students]" caption="Sum of Students" numFmtId="0" hierarchy="5" level="32767"/>
    <cacheField name="[Range].[University].[University]" caption="University" numFmtId="0" hierarchy="2" level="1">
      <sharedItems count="8">
        <s v="Brown"/>
        <s v="Columbia"/>
        <s v="Cornell"/>
        <s v="Dartmouth"/>
        <s v="Harvard"/>
        <s v="Penn State"/>
        <s v="Princeton"/>
        <s v="Yale"/>
      </sharedItems>
    </cacheField>
    <cacheField name="[Measures].[Average of Students]" caption="Average of Students" numFmtId="0" hierarchy="6" level="32767"/>
  </cacheFields>
  <cacheHierarchies count="7">
    <cacheHierarchy uniqueName="[Range].[Students]" caption="Students" attribute="1" defaultMemberUniqueName="[Range].[Students].[All]" allUniqueName="[Range].[Students].[All]" dimensionUniqueName="[Range]" displayFolder="" count="0" memberValueDatatype="20" unbalanced="0"/>
    <cacheHierarchy uniqueName="[Range].[Faculty]" caption="Faculty" attribute="1" defaultMemberUniqueName="[Range].[Faculty].[All]" allUniqueName="[Range].[Faculty].[All]" dimensionUniqueName="[Range]" displayFolder="" count="0" memberValueDatatype="130" unbalanced="0"/>
    <cacheHierarchy uniqueName="[Range].[University]" caption="University" attribute="1" defaultMemberUniqueName="[Range].[University].[All]" allUniqueName="[Range].[University].[All]" dimensionUniqueName="[Range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tudents]" caption="Sum of Students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Average of Students]" caption="Average of Students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</r>
  <r>
    <x v="1"/>
    <x v="1"/>
    <x v="1"/>
  </r>
  <r>
    <x v="2"/>
    <x v="2"/>
    <x v="2"/>
  </r>
  <r>
    <x v="3"/>
    <x v="2"/>
    <x v="3"/>
  </r>
  <r>
    <x v="4"/>
    <x v="0"/>
    <x v="4"/>
  </r>
  <r>
    <x v="5"/>
    <x v="2"/>
    <x v="5"/>
  </r>
  <r>
    <x v="6"/>
    <x v="0"/>
    <x v="3"/>
  </r>
  <r>
    <x v="7"/>
    <x v="0"/>
    <x v="5"/>
  </r>
  <r>
    <x v="8"/>
    <x v="3"/>
    <x v="6"/>
  </r>
  <r>
    <x v="9"/>
    <x v="3"/>
    <x v="3"/>
  </r>
  <r>
    <x v="10"/>
    <x v="3"/>
    <x v="1"/>
  </r>
  <r>
    <x v="11"/>
    <x v="1"/>
    <x v="2"/>
  </r>
  <r>
    <x v="12"/>
    <x v="4"/>
    <x v="2"/>
  </r>
  <r>
    <x v="13"/>
    <x v="2"/>
    <x v="1"/>
  </r>
  <r>
    <x v="14"/>
    <x v="2"/>
    <x v="7"/>
  </r>
  <r>
    <x v="15"/>
    <x v="4"/>
    <x v="6"/>
  </r>
  <r>
    <x v="16"/>
    <x v="1"/>
    <x v="4"/>
  </r>
  <r>
    <x v="17"/>
    <x v="4"/>
    <x v="4"/>
  </r>
  <r>
    <x v="18"/>
    <x v="1"/>
    <x v="5"/>
  </r>
  <r>
    <x v="19"/>
    <x v="1"/>
    <x v="0"/>
  </r>
  <r>
    <x v="20"/>
    <x v="1"/>
    <x v="6"/>
  </r>
  <r>
    <x v="21"/>
    <x v="3"/>
    <x v="2"/>
  </r>
  <r>
    <x v="22"/>
    <x v="0"/>
    <x v="2"/>
  </r>
  <r>
    <x v="23"/>
    <x v="4"/>
    <x v="7"/>
  </r>
  <r>
    <x v="24"/>
    <x v="2"/>
    <x v="4"/>
  </r>
  <r>
    <x v="25"/>
    <x v="0"/>
    <x v="6"/>
  </r>
  <r>
    <x v="26"/>
    <x v="4"/>
    <x v="0"/>
  </r>
  <r>
    <x v="27"/>
    <x v="3"/>
    <x v="4"/>
  </r>
  <r>
    <x v="13"/>
    <x v="2"/>
    <x v="6"/>
  </r>
  <r>
    <x v="28"/>
    <x v="1"/>
    <x v="7"/>
  </r>
  <r>
    <x v="29"/>
    <x v="3"/>
    <x v="7"/>
  </r>
  <r>
    <x v="30"/>
    <x v="4"/>
    <x v="5"/>
  </r>
  <r>
    <x v="31"/>
    <x v="1"/>
    <x v="3"/>
  </r>
  <r>
    <x v="32"/>
    <x v="0"/>
    <x v="1"/>
  </r>
  <r>
    <x v="33"/>
    <x v="0"/>
    <x v="7"/>
  </r>
  <r>
    <x v="4"/>
    <x v="3"/>
    <x v="0"/>
  </r>
  <r>
    <x v="34"/>
    <x v="4"/>
    <x v="3"/>
  </r>
  <r>
    <x v="35"/>
    <x v="3"/>
    <x v="5"/>
  </r>
  <r>
    <x v="36"/>
    <x v="4"/>
    <x v="1"/>
  </r>
  <r>
    <x v="36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6BF88-A27C-4DAF-ABBC-F3C76B9E5235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3">
    <pivotField dataField="1" numFmtId="1" multipleItemSelectionAllowed="1" showAll="0">
      <items count="38">
        <item x="33"/>
        <item x="15"/>
        <item x="34"/>
        <item x="6"/>
        <item x="8"/>
        <item x="14"/>
        <item x="19"/>
        <item x="17"/>
        <item x="21"/>
        <item x="23"/>
        <item x="3"/>
        <item x="26"/>
        <item x="2"/>
        <item x="11"/>
        <item x="30"/>
        <item x="5"/>
        <item x="25"/>
        <item x="28"/>
        <item x="0"/>
        <item x="24"/>
        <item x="9"/>
        <item x="18"/>
        <item x="29"/>
        <item x="36"/>
        <item x="20"/>
        <item x="4"/>
        <item x="31"/>
        <item x="13"/>
        <item x="7"/>
        <item x="32"/>
        <item x="10"/>
        <item x="12"/>
        <item x="27"/>
        <item x="16"/>
        <item x="35"/>
        <item x="22"/>
        <item x="1"/>
        <item t="default"/>
      </items>
    </pivotField>
    <pivotField axis="axisRow" showAll="0">
      <items count="6">
        <item x="0"/>
        <item x="2"/>
        <item x="3"/>
        <item x="1"/>
        <item x="4"/>
        <item t="default"/>
      </items>
    </pivotField>
    <pivotField showAll="0">
      <items count="9">
        <item x="1"/>
        <item x="4"/>
        <item x="5"/>
        <item x="2"/>
        <item x="3"/>
        <item x="7"/>
        <item x="6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udents" fld="0" baseField="0" baseItem="0" numFmtId="1"/>
    <dataField name="Average of Students2" fld="0" subtotal="average" baseField="1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36D52-37B1-4071-BC70-F83B7F745962}" name="PivotTable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2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tudents" fld="0" baseField="0" baseItem="0"/>
    <dataField name="Average of Students2" fld="2" subtotal="average" baseField="1" baseItem="0"/>
  </dataFields>
  <pivotHierarchies count="7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Students2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Q1!$A$2:$C$42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0379E4-1CBC-4CD1-BE08-C0EA84E62F89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3" firstHeaderRow="1" firstDataRow="2" firstDataCol="1"/>
  <pivotFields count="3">
    <pivotField dataField="1" numFmtId="1" showAll="0"/>
    <pivotField axis="axisCol" showAll="0">
      <items count="6">
        <item x="0"/>
        <item x="2"/>
        <item x="3"/>
        <item x="1"/>
        <item x="4"/>
        <item t="default"/>
      </items>
    </pivotField>
    <pivotField axis="axisRow" showAll="0">
      <items count="9">
        <item x="1"/>
        <item x="4"/>
        <item x="5"/>
        <item x="2"/>
        <item x="3"/>
        <item x="7"/>
        <item x="6"/>
        <item x="0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tudents" fld="0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3F551-8BE0-4B7F-97E3-3DCD50A92E3A}">
  <dimension ref="A1:C42"/>
  <sheetViews>
    <sheetView tabSelected="1" workbookViewId="0">
      <selection activeCell="C2" sqref="C2"/>
    </sheetView>
  </sheetViews>
  <sheetFormatPr defaultRowHeight="14.4" x14ac:dyDescent="0.3"/>
  <cols>
    <col min="1" max="1" width="14.5546875" customWidth="1"/>
    <col min="2" max="2" width="15.5546875" customWidth="1"/>
    <col min="3" max="3" width="14" customWidth="1"/>
  </cols>
  <sheetData>
    <row r="1" spans="1:3" ht="36" customHeight="1" x14ac:dyDescent="0.3">
      <c r="A1" s="5" t="s">
        <v>0</v>
      </c>
      <c r="B1" s="5"/>
      <c r="C1" s="5"/>
    </row>
    <row r="2" spans="1:3" ht="18" x14ac:dyDescent="0.35">
      <c r="A2" s="6" t="s">
        <v>1</v>
      </c>
      <c r="B2" s="7" t="s">
        <v>2</v>
      </c>
      <c r="C2" s="8" t="s">
        <v>3</v>
      </c>
    </row>
    <row r="3" spans="1:3" x14ac:dyDescent="0.3">
      <c r="A3" s="1">
        <v>591</v>
      </c>
      <c r="B3" s="2" t="s">
        <v>4</v>
      </c>
      <c r="C3" s="2" t="s">
        <v>5</v>
      </c>
    </row>
    <row r="4" spans="1:3" x14ac:dyDescent="0.3">
      <c r="A4" s="3">
        <v>9567</v>
      </c>
      <c r="B4" s="4" t="s">
        <v>6</v>
      </c>
      <c r="C4" s="4" t="s">
        <v>7</v>
      </c>
    </row>
    <row r="5" spans="1:3" x14ac:dyDescent="0.3">
      <c r="A5" s="1">
        <v>542</v>
      </c>
      <c r="B5" s="2" t="s">
        <v>8</v>
      </c>
      <c r="C5" s="2" t="s">
        <v>9</v>
      </c>
    </row>
    <row r="6" spans="1:3" x14ac:dyDescent="0.3">
      <c r="A6" s="3">
        <v>346</v>
      </c>
      <c r="B6" s="4" t="s">
        <v>8</v>
      </c>
      <c r="C6" s="4" t="s">
        <v>10</v>
      </c>
    </row>
    <row r="7" spans="1:3" x14ac:dyDescent="0.3">
      <c r="A7" s="1">
        <v>849</v>
      </c>
      <c r="B7" s="2" t="s">
        <v>4</v>
      </c>
      <c r="C7" s="2" t="s">
        <v>11</v>
      </c>
    </row>
    <row r="8" spans="1:3" x14ac:dyDescent="0.3">
      <c r="A8" s="3">
        <v>552</v>
      </c>
      <c r="B8" s="4" t="s">
        <v>8</v>
      </c>
      <c r="C8" s="4" t="s">
        <v>12</v>
      </c>
    </row>
    <row r="9" spans="1:3" x14ac:dyDescent="0.3">
      <c r="A9" s="1">
        <v>173</v>
      </c>
      <c r="B9" s="2" t="s">
        <v>4</v>
      </c>
      <c r="C9" s="2" t="s">
        <v>10</v>
      </c>
    </row>
    <row r="10" spans="1:3" x14ac:dyDescent="0.3">
      <c r="A10" s="3">
        <v>1355</v>
      </c>
      <c r="B10" s="4" t="s">
        <v>4</v>
      </c>
      <c r="C10" s="4" t="s">
        <v>12</v>
      </c>
    </row>
    <row r="11" spans="1:3" x14ac:dyDescent="0.3">
      <c r="A11" s="1">
        <v>193</v>
      </c>
      <c r="B11" s="2" t="s">
        <v>13</v>
      </c>
      <c r="C11" s="2" t="s">
        <v>14</v>
      </c>
    </row>
    <row r="12" spans="1:3" x14ac:dyDescent="0.3">
      <c r="A12" s="3">
        <v>615</v>
      </c>
      <c r="B12" s="4" t="s">
        <v>13</v>
      </c>
      <c r="C12" s="4" t="s">
        <v>10</v>
      </c>
    </row>
    <row r="13" spans="1:3" x14ac:dyDescent="0.3">
      <c r="A13" s="1">
        <v>1579</v>
      </c>
      <c r="B13" s="2" t="s">
        <v>13</v>
      </c>
      <c r="C13" s="2" t="s">
        <v>7</v>
      </c>
    </row>
    <row r="14" spans="1:3" x14ac:dyDescent="0.3">
      <c r="A14" s="3">
        <v>547</v>
      </c>
      <c r="B14" s="4" t="s">
        <v>6</v>
      </c>
      <c r="C14" s="4" t="s">
        <v>9</v>
      </c>
    </row>
    <row r="15" spans="1:3" x14ac:dyDescent="0.3">
      <c r="A15" s="1">
        <v>1687</v>
      </c>
      <c r="B15" s="2" t="s">
        <v>15</v>
      </c>
      <c r="C15" s="2" t="s">
        <v>9</v>
      </c>
    </row>
    <row r="16" spans="1:3" x14ac:dyDescent="0.3">
      <c r="A16" s="3">
        <v>972</v>
      </c>
      <c r="B16" s="4" t="s">
        <v>8</v>
      </c>
      <c r="C16" s="4" t="s">
        <v>7</v>
      </c>
    </row>
    <row r="17" spans="1:3" x14ac:dyDescent="0.3">
      <c r="A17" s="1">
        <v>234</v>
      </c>
      <c r="B17" s="2" t="s">
        <v>8</v>
      </c>
      <c r="C17" s="2" t="s">
        <v>16</v>
      </c>
    </row>
    <row r="18" spans="1:3" x14ac:dyDescent="0.3">
      <c r="A18" s="3">
        <v>151</v>
      </c>
      <c r="B18" s="4" t="s">
        <v>15</v>
      </c>
      <c r="C18" s="4" t="s">
        <v>14</v>
      </c>
    </row>
    <row r="19" spans="1:3" x14ac:dyDescent="0.3">
      <c r="A19" s="1">
        <v>1793</v>
      </c>
      <c r="B19" s="2" t="s">
        <v>6</v>
      </c>
      <c r="C19" s="2" t="s">
        <v>11</v>
      </c>
    </row>
    <row r="20" spans="1:3" x14ac:dyDescent="0.3">
      <c r="A20" s="3">
        <v>315</v>
      </c>
      <c r="B20" s="4" t="s">
        <v>15</v>
      </c>
      <c r="C20" s="4" t="s">
        <v>11</v>
      </c>
    </row>
    <row r="21" spans="1:3" x14ac:dyDescent="0.3">
      <c r="A21" s="1">
        <v>618</v>
      </c>
      <c r="B21" s="2" t="s">
        <v>6</v>
      </c>
      <c r="C21" s="2" t="s">
        <v>12</v>
      </c>
    </row>
    <row r="22" spans="1:3" x14ac:dyDescent="0.3">
      <c r="A22" s="3">
        <v>246</v>
      </c>
      <c r="B22" s="4" t="s">
        <v>6</v>
      </c>
      <c r="C22" s="4" t="s">
        <v>5</v>
      </c>
    </row>
    <row r="23" spans="1:3" x14ac:dyDescent="0.3">
      <c r="A23" s="1">
        <v>784</v>
      </c>
      <c r="B23" s="2" t="s">
        <v>6</v>
      </c>
      <c r="C23" s="2" t="s">
        <v>14</v>
      </c>
    </row>
    <row r="24" spans="1:3" x14ac:dyDescent="0.3">
      <c r="A24" s="3">
        <v>316</v>
      </c>
      <c r="B24" s="4" t="s">
        <v>13</v>
      </c>
      <c r="C24" s="4" t="s">
        <v>9</v>
      </c>
    </row>
    <row r="25" spans="1:3" x14ac:dyDescent="0.3">
      <c r="A25" s="1">
        <v>3155</v>
      </c>
      <c r="B25" s="2" t="s">
        <v>4</v>
      </c>
      <c r="C25" s="2" t="s">
        <v>9</v>
      </c>
    </row>
    <row r="26" spans="1:3" x14ac:dyDescent="0.3">
      <c r="A26" s="3">
        <v>318</v>
      </c>
      <c r="B26" s="4" t="s">
        <v>15</v>
      </c>
      <c r="C26" s="4" t="s">
        <v>16</v>
      </c>
    </row>
    <row r="27" spans="1:3" x14ac:dyDescent="0.3">
      <c r="A27" s="1">
        <v>608</v>
      </c>
      <c r="B27" s="2" t="s">
        <v>8</v>
      </c>
      <c r="C27" s="2" t="s">
        <v>11</v>
      </c>
    </row>
    <row r="28" spans="1:3" x14ac:dyDescent="0.3">
      <c r="A28" s="3">
        <v>561</v>
      </c>
      <c r="B28" s="4" t="s">
        <v>4</v>
      </c>
      <c r="C28" s="4" t="s">
        <v>14</v>
      </c>
    </row>
    <row r="29" spans="1:3" x14ac:dyDescent="0.3">
      <c r="A29" s="1">
        <v>357</v>
      </c>
      <c r="B29" s="2" t="s">
        <v>15</v>
      </c>
      <c r="C29" s="2" t="s">
        <v>5</v>
      </c>
    </row>
    <row r="30" spans="1:3" x14ac:dyDescent="0.3">
      <c r="A30" s="3">
        <v>1688</v>
      </c>
      <c r="B30" s="4" t="s">
        <v>13</v>
      </c>
      <c r="C30" s="4" t="s">
        <v>11</v>
      </c>
    </row>
    <row r="31" spans="1:3" x14ac:dyDescent="0.3">
      <c r="A31" s="1">
        <v>972</v>
      </c>
      <c r="B31" s="2" t="s">
        <v>8</v>
      </c>
      <c r="C31" s="2" t="s">
        <v>14</v>
      </c>
    </row>
    <row r="32" spans="1:3" x14ac:dyDescent="0.3">
      <c r="A32" s="3">
        <v>568</v>
      </c>
      <c r="B32" s="4" t="s">
        <v>6</v>
      </c>
      <c r="C32" s="4" t="s">
        <v>16</v>
      </c>
    </row>
    <row r="33" spans="1:3" x14ac:dyDescent="0.3">
      <c r="A33" s="1">
        <v>632</v>
      </c>
      <c r="B33" s="2" t="s">
        <v>13</v>
      </c>
      <c r="C33" s="2" t="s">
        <v>16</v>
      </c>
    </row>
    <row r="34" spans="1:3" x14ac:dyDescent="0.3">
      <c r="A34" s="3">
        <v>551</v>
      </c>
      <c r="B34" s="4" t="s">
        <v>15</v>
      </c>
      <c r="C34" s="4" t="s">
        <v>12</v>
      </c>
    </row>
    <row r="35" spans="1:3" x14ac:dyDescent="0.3">
      <c r="A35" s="1">
        <v>948</v>
      </c>
      <c r="B35" s="2" t="s">
        <v>6</v>
      </c>
      <c r="C35" s="2" t="s">
        <v>10</v>
      </c>
    </row>
    <row r="36" spans="1:3" x14ac:dyDescent="0.3">
      <c r="A36" s="3">
        <v>1358</v>
      </c>
      <c r="B36" s="4" t="s">
        <v>4</v>
      </c>
      <c r="C36" s="4" t="s">
        <v>7</v>
      </c>
    </row>
    <row r="37" spans="1:3" x14ac:dyDescent="0.3">
      <c r="A37" s="1">
        <v>135</v>
      </c>
      <c r="B37" s="2" t="s">
        <v>4</v>
      </c>
      <c r="C37" s="2" t="s">
        <v>16</v>
      </c>
    </row>
    <row r="38" spans="1:3" x14ac:dyDescent="0.3">
      <c r="A38" s="3">
        <v>849</v>
      </c>
      <c r="B38" s="4" t="s">
        <v>13</v>
      </c>
      <c r="C38" s="4" t="s">
        <v>5</v>
      </c>
    </row>
    <row r="39" spans="1:3" x14ac:dyDescent="0.3">
      <c r="A39" s="1">
        <v>158</v>
      </c>
      <c r="B39" s="2" t="s">
        <v>15</v>
      </c>
      <c r="C39" s="2" t="s">
        <v>10</v>
      </c>
    </row>
    <row r="40" spans="1:3" x14ac:dyDescent="0.3">
      <c r="A40" s="3">
        <v>1889</v>
      </c>
      <c r="B40" s="4" t="s">
        <v>13</v>
      </c>
      <c r="C40" s="4" t="s">
        <v>12</v>
      </c>
    </row>
    <row r="41" spans="1:3" x14ac:dyDescent="0.3">
      <c r="A41" s="1">
        <v>651</v>
      </c>
      <c r="B41" s="2" t="s">
        <v>15</v>
      </c>
      <c r="C41" s="2" t="s">
        <v>7</v>
      </c>
    </row>
    <row r="42" spans="1:3" x14ac:dyDescent="0.3">
      <c r="A42" s="3">
        <v>651</v>
      </c>
      <c r="B42" s="4" t="s">
        <v>8</v>
      </c>
      <c r="C42" s="4" t="s">
        <v>5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BB744-C5F9-4CD5-B0A7-4E9D86D4FDEE}">
  <dimension ref="A1:C9"/>
  <sheetViews>
    <sheetView workbookViewId="0">
      <selection activeCell="C3" sqref="C3"/>
    </sheetView>
  </sheetViews>
  <sheetFormatPr defaultRowHeight="14.4" x14ac:dyDescent="0.3"/>
  <cols>
    <col min="1" max="1" width="12.44140625" bestFit="1" customWidth="1"/>
    <col min="2" max="2" width="19.109375" customWidth="1"/>
    <col min="3" max="3" width="22.33203125" customWidth="1"/>
    <col min="4" max="37" width="15.5546875" bestFit="1" customWidth="1"/>
    <col min="38" max="38" width="10.5546875" bestFit="1" customWidth="1"/>
  </cols>
  <sheetData>
    <row r="1" spans="1:3" ht="29.4" customHeight="1" x14ac:dyDescent="0.3"/>
    <row r="3" spans="1:3" ht="15.6" customHeight="1" x14ac:dyDescent="0.3">
      <c r="A3" s="10" t="s">
        <v>18</v>
      </c>
      <c r="B3" t="s">
        <v>17</v>
      </c>
      <c r="C3" t="s">
        <v>21</v>
      </c>
    </row>
    <row r="4" spans="1:3" ht="15" customHeight="1" x14ac:dyDescent="0.3">
      <c r="A4" s="11" t="s">
        <v>4</v>
      </c>
      <c r="B4" s="9">
        <v>8177</v>
      </c>
      <c r="C4" s="9">
        <v>1022.125</v>
      </c>
    </row>
    <row r="5" spans="1:3" x14ac:dyDescent="0.3">
      <c r="A5" s="11" t="s">
        <v>8</v>
      </c>
      <c r="B5" s="9">
        <v>4877</v>
      </c>
      <c r="C5" s="9">
        <v>609.625</v>
      </c>
    </row>
    <row r="6" spans="1:3" x14ac:dyDescent="0.3">
      <c r="A6" s="11" t="s">
        <v>13</v>
      </c>
      <c r="B6" s="9">
        <v>7761</v>
      </c>
      <c r="C6" s="9">
        <v>970.125</v>
      </c>
    </row>
    <row r="7" spans="1:3" x14ac:dyDescent="0.3">
      <c r="A7" s="11" t="s">
        <v>6</v>
      </c>
      <c r="B7" s="9">
        <v>15071</v>
      </c>
      <c r="C7" s="9">
        <v>1883.875</v>
      </c>
    </row>
    <row r="8" spans="1:3" x14ac:dyDescent="0.3">
      <c r="A8" s="11" t="s">
        <v>15</v>
      </c>
      <c r="B8" s="9">
        <v>4188</v>
      </c>
      <c r="C8" s="9">
        <v>523.5</v>
      </c>
    </row>
    <row r="9" spans="1:3" x14ac:dyDescent="0.3">
      <c r="A9" s="11" t="s">
        <v>19</v>
      </c>
      <c r="B9" s="9">
        <v>40074</v>
      </c>
      <c r="C9" s="9">
        <v>1001.85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0CA2B-D14A-4E5E-80AC-66C8D612773D}">
  <dimension ref="A3:C12"/>
  <sheetViews>
    <sheetView workbookViewId="0">
      <selection activeCell="C3" sqref="C3"/>
    </sheetView>
  </sheetViews>
  <sheetFormatPr defaultRowHeight="14.4" x14ac:dyDescent="0.3"/>
  <cols>
    <col min="1" max="1" width="12.44140625" bestFit="1" customWidth="1"/>
    <col min="2" max="2" width="17.6640625" customWidth="1"/>
    <col min="3" max="3" width="25.33203125" customWidth="1"/>
  </cols>
  <sheetData>
    <row r="3" spans="1:3" x14ac:dyDescent="0.3">
      <c r="A3" s="10" t="s">
        <v>18</v>
      </c>
      <c r="B3" t="s">
        <v>17</v>
      </c>
      <c r="C3" t="s">
        <v>21</v>
      </c>
    </row>
    <row r="4" spans="1:3" x14ac:dyDescent="0.3">
      <c r="A4" s="11" t="s">
        <v>7</v>
      </c>
      <c r="B4" s="12">
        <v>14127</v>
      </c>
      <c r="C4" s="12">
        <v>2825.4</v>
      </c>
    </row>
    <row r="5" spans="1:3" x14ac:dyDescent="0.3">
      <c r="A5" s="11" t="s">
        <v>11</v>
      </c>
      <c r="B5" s="12">
        <v>5253</v>
      </c>
      <c r="C5" s="12">
        <v>1050.5999999999999</v>
      </c>
    </row>
    <row r="6" spans="1:3" x14ac:dyDescent="0.3">
      <c r="A6" s="11" t="s">
        <v>12</v>
      </c>
      <c r="B6" s="12">
        <v>4965</v>
      </c>
      <c r="C6" s="12">
        <v>993</v>
      </c>
    </row>
    <row r="7" spans="1:3" x14ac:dyDescent="0.3">
      <c r="A7" s="11" t="s">
        <v>9</v>
      </c>
      <c r="B7" s="12">
        <v>6247</v>
      </c>
      <c r="C7" s="12">
        <v>1249.4000000000001</v>
      </c>
    </row>
    <row r="8" spans="1:3" x14ac:dyDescent="0.3">
      <c r="A8" s="11" t="s">
        <v>10</v>
      </c>
      <c r="B8" s="12">
        <v>2240</v>
      </c>
      <c r="C8" s="12">
        <v>448</v>
      </c>
    </row>
    <row r="9" spans="1:3" x14ac:dyDescent="0.3">
      <c r="A9" s="11" t="s">
        <v>16</v>
      </c>
      <c r="B9" s="12">
        <v>1887</v>
      </c>
      <c r="C9" s="12">
        <v>377.4</v>
      </c>
    </row>
    <row r="10" spans="1:3" x14ac:dyDescent="0.3">
      <c r="A10" s="11" t="s">
        <v>14</v>
      </c>
      <c r="B10" s="12">
        <v>2661</v>
      </c>
      <c r="C10" s="12">
        <v>532.20000000000005</v>
      </c>
    </row>
    <row r="11" spans="1:3" x14ac:dyDescent="0.3">
      <c r="A11" s="11" t="s">
        <v>5</v>
      </c>
      <c r="B11" s="12">
        <v>2694</v>
      </c>
      <c r="C11" s="12">
        <v>538.79999999999995</v>
      </c>
    </row>
    <row r="12" spans="1:3" x14ac:dyDescent="0.3">
      <c r="A12" s="11" t="s">
        <v>19</v>
      </c>
      <c r="B12" s="12">
        <v>40074</v>
      </c>
      <c r="C12" s="12">
        <v>1001.85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6BC2-82D1-44A7-A819-15568E2FCA5B}">
  <dimension ref="A3:G13"/>
  <sheetViews>
    <sheetView workbookViewId="0">
      <selection activeCell="G3" sqref="G3"/>
    </sheetView>
  </sheetViews>
  <sheetFormatPr defaultRowHeight="14.4" x14ac:dyDescent="0.3"/>
  <cols>
    <col min="1" max="1" width="18" customWidth="1"/>
    <col min="2" max="2" width="19" customWidth="1"/>
    <col min="3" max="3" width="15.44140625" customWidth="1"/>
    <col min="4" max="4" width="15.88671875" customWidth="1"/>
    <col min="5" max="5" width="10" customWidth="1"/>
    <col min="6" max="6" width="13.5546875" customWidth="1"/>
    <col min="7" max="7" width="15.6640625" customWidth="1"/>
  </cols>
  <sheetData>
    <row r="3" spans="1:7" x14ac:dyDescent="0.3">
      <c r="A3" s="10" t="s">
        <v>17</v>
      </c>
      <c r="B3" s="10" t="s">
        <v>20</v>
      </c>
    </row>
    <row r="4" spans="1:7" x14ac:dyDescent="0.3">
      <c r="A4" s="10" t="s">
        <v>18</v>
      </c>
      <c r="B4" t="s">
        <v>4</v>
      </c>
      <c r="C4" t="s">
        <v>8</v>
      </c>
      <c r="D4" t="s">
        <v>13</v>
      </c>
      <c r="E4" t="s">
        <v>6</v>
      </c>
      <c r="F4" t="s">
        <v>15</v>
      </c>
      <c r="G4" t="s">
        <v>19</v>
      </c>
    </row>
    <row r="5" spans="1:7" x14ac:dyDescent="0.3">
      <c r="A5" s="11" t="s">
        <v>7</v>
      </c>
      <c r="B5" s="9">
        <v>1358</v>
      </c>
      <c r="C5" s="9">
        <v>972</v>
      </c>
      <c r="D5" s="9">
        <v>1579</v>
      </c>
      <c r="E5" s="9">
        <v>9567</v>
      </c>
      <c r="F5" s="9">
        <v>651</v>
      </c>
      <c r="G5" s="9">
        <v>14127</v>
      </c>
    </row>
    <row r="6" spans="1:7" x14ac:dyDescent="0.3">
      <c r="A6" s="11" t="s">
        <v>11</v>
      </c>
      <c r="B6" s="9">
        <v>849</v>
      </c>
      <c r="C6" s="9">
        <v>608</v>
      </c>
      <c r="D6" s="9">
        <v>1688</v>
      </c>
      <c r="E6" s="9">
        <v>1793</v>
      </c>
      <c r="F6" s="9">
        <v>315</v>
      </c>
      <c r="G6" s="9">
        <v>5253</v>
      </c>
    </row>
    <row r="7" spans="1:7" x14ac:dyDescent="0.3">
      <c r="A7" s="11" t="s">
        <v>12</v>
      </c>
      <c r="B7" s="9">
        <v>1355</v>
      </c>
      <c r="C7" s="9">
        <v>552</v>
      </c>
      <c r="D7" s="9">
        <v>1889</v>
      </c>
      <c r="E7" s="9">
        <v>618</v>
      </c>
      <c r="F7" s="9">
        <v>551</v>
      </c>
      <c r="G7" s="9">
        <v>4965</v>
      </c>
    </row>
    <row r="8" spans="1:7" x14ac:dyDescent="0.3">
      <c r="A8" s="11" t="s">
        <v>9</v>
      </c>
      <c r="B8" s="9">
        <v>3155</v>
      </c>
      <c r="C8" s="9">
        <v>542</v>
      </c>
      <c r="D8" s="9">
        <v>316</v>
      </c>
      <c r="E8" s="9">
        <v>547</v>
      </c>
      <c r="F8" s="9">
        <v>1687</v>
      </c>
      <c r="G8" s="9">
        <v>6247</v>
      </c>
    </row>
    <row r="9" spans="1:7" x14ac:dyDescent="0.3">
      <c r="A9" s="11" t="s">
        <v>10</v>
      </c>
      <c r="B9" s="9">
        <v>173</v>
      </c>
      <c r="C9" s="9">
        <v>346</v>
      </c>
      <c r="D9" s="9">
        <v>615</v>
      </c>
      <c r="E9" s="9">
        <v>948</v>
      </c>
      <c r="F9" s="9">
        <v>158</v>
      </c>
      <c r="G9" s="9">
        <v>2240</v>
      </c>
    </row>
    <row r="10" spans="1:7" x14ac:dyDescent="0.3">
      <c r="A10" s="11" t="s">
        <v>16</v>
      </c>
      <c r="B10" s="9">
        <v>135</v>
      </c>
      <c r="C10" s="9">
        <v>234</v>
      </c>
      <c r="D10" s="9">
        <v>632</v>
      </c>
      <c r="E10" s="9">
        <v>568</v>
      </c>
      <c r="F10" s="9">
        <v>318</v>
      </c>
      <c r="G10" s="9">
        <v>1887</v>
      </c>
    </row>
    <row r="11" spans="1:7" x14ac:dyDescent="0.3">
      <c r="A11" s="11" t="s">
        <v>14</v>
      </c>
      <c r="B11" s="9">
        <v>561</v>
      </c>
      <c r="C11" s="9">
        <v>972</v>
      </c>
      <c r="D11" s="9">
        <v>193</v>
      </c>
      <c r="E11" s="9">
        <v>784</v>
      </c>
      <c r="F11" s="9">
        <v>151</v>
      </c>
      <c r="G11" s="9">
        <v>2661</v>
      </c>
    </row>
    <row r="12" spans="1:7" x14ac:dyDescent="0.3">
      <c r="A12" s="11" t="s">
        <v>5</v>
      </c>
      <c r="B12" s="9">
        <v>591</v>
      </c>
      <c r="C12" s="9">
        <v>651</v>
      </c>
      <c r="D12" s="9">
        <v>849</v>
      </c>
      <c r="E12" s="9">
        <v>246</v>
      </c>
      <c r="F12" s="9">
        <v>357</v>
      </c>
      <c r="G12" s="9">
        <v>2694</v>
      </c>
    </row>
    <row r="13" spans="1:7" x14ac:dyDescent="0.3">
      <c r="A13" s="11" t="s">
        <v>19</v>
      </c>
      <c r="B13" s="9">
        <v>8177</v>
      </c>
      <c r="C13" s="9">
        <v>4877</v>
      </c>
      <c r="D13" s="9">
        <v>7761</v>
      </c>
      <c r="E13" s="9">
        <v>15071</v>
      </c>
      <c r="F13" s="9">
        <v>4188</v>
      </c>
      <c r="G13" s="9">
        <v>40074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430B0-A23E-4F2F-A2EB-5472163C20E7}">
  <dimension ref="A1:G20"/>
  <sheetViews>
    <sheetView zoomScale="150" zoomScaleNormal="150" workbookViewId="0">
      <selection activeCell="G17" sqref="G17"/>
    </sheetView>
  </sheetViews>
  <sheetFormatPr defaultRowHeight="14.4" x14ac:dyDescent="0.3"/>
  <cols>
    <col min="1" max="1" width="14" customWidth="1"/>
    <col min="2" max="2" width="13.44140625" customWidth="1"/>
    <col min="3" max="3" width="11.33203125" customWidth="1"/>
    <col min="4" max="4" width="13.44140625" customWidth="1"/>
    <col min="5" max="5" width="11.33203125" customWidth="1"/>
    <col min="6" max="6" width="13" customWidth="1"/>
    <col min="7" max="7" width="15.5546875" customWidth="1"/>
  </cols>
  <sheetData>
    <row r="1" spans="1:7" x14ac:dyDescent="0.3">
      <c r="A1" s="13" t="s">
        <v>22</v>
      </c>
      <c r="B1" s="13" t="s">
        <v>23</v>
      </c>
      <c r="C1" s="13" t="s">
        <v>24</v>
      </c>
      <c r="D1" s="13" t="s">
        <v>25</v>
      </c>
      <c r="E1" s="13" t="s">
        <v>26</v>
      </c>
      <c r="F1" s="13" t="s">
        <v>27</v>
      </c>
      <c r="G1" s="13" t="s">
        <v>28</v>
      </c>
    </row>
    <row r="2" spans="1:7" x14ac:dyDescent="0.3">
      <c r="A2" s="14">
        <v>1</v>
      </c>
      <c r="B2" s="19">
        <v>120</v>
      </c>
      <c r="C2" s="14">
        <v>3</v>
      </c>
      <c r="D2" s="22">
        <f>(B2*C2)</f>
        <v>360</v>
      </c>
      <c r="E2" s="25">
        <f>IF(D2&gt;=1000,0.1,IF(D2&gt;=100,0.05,0))</f>
        <v>0.05</v>
      </c>
      <c r="F2" s="22">
        <f>D2*E2</f>
        <v>18</v>
      </c>
      <c r="G2" s="22">
        <f>D2-F2</f>
        <v>342</v>
      </c>
    </row>
    <row r="3" spans="1:7" x14ac:dyDescent="0.3">
      <c r="A3" s="15">
        <v>2</v>
      </c>
      <c r="B3" s="20">
        <v>56</v>
      </c>
      <c r="C3" s="15">
        <v>5</v>
      </c>
      <c r="D3" s="23">
        <f>(B3*C3)</f>
        <v>280</v>
      </c>
      <c r="E3" s="26">
        <f t="shared" ref="E3:E15" si="0">IF(D3&gt;=1000,0.1,IF(D3&gt;=100,0.05,0))</f>
        <v>0.05</v>
      </c>
      <c r="F3" s="23">
        <f t="shared" ref="F3:F15" si="1">D3*E3</f>
        <v>14</v>
      </c>
      <c r="G3" s="23">
        <f t="shared" ref="G3:G15" si="2">D3-F3</f>
        <v>266</v>
      </c>
    </row>
    <row r="4" spans="1:7" x14ac:dyDescent="0.3">
      <c r="A4" s="14">
        <v>3</v>
      </c>
      <c r="B4" s="19">
        <v>70</v>
      </c>
      <c r="C4" s="14">
        <v>2</v>
      </c>
      <c r="D4" s="22">
        <f t="shared" ref="D3:D15" si="3">(B4*C4)</f>
        <v>140</v>
      </c>
      <c r="E4" s="25">
        <f t="shared" si="0"/>
        <v>0.05</v>
      </c>
      <c r="F4" s="22">
        <f t="shared" si="1"/>
        <v>7</v>
      </c>
      <c r="G4" s="22">
        <f>D4-F4</f>
        <v>133</v>
      </c>
    </row>
    <row r="5" spans="1:7" x14ac:dyDescent="0.3">
      <c r="A5" s="15">
        <v>4</v>
      </c>
      <c r="B5" s="20">
        <v>430</v>
      </c>
      <c r="C5" s="15">
        <v>7</v>
      </c>
      <c r="D5" s="23">
        <f t="shared" si="3"/>
        <v>3010</v>
      </c>
      <c r="E5" s="26">
        <f t="shared" si="0"/>
        <v>0.1</v>
      </c>
      <c r="F5" s="23">
        <f t="shared" si="1"/>
        <v>301</v>
      </c>
      <c r="G5" s="23">
        <f t="shared" si="2"/>
        <v>2709</v>
      </c>
    </row>
    <row r="6" spans="1:7" x14ac:dyDescent="0.3">
      <c r="A6" s="14">
        <v>5</v>
      </c>
      <c r="B6" s="19">
        <v>230</v>
      </c>
      <c r="C6" s="14">
        <v>23</v>
      </c>
      <c r="D6" s="22">
        <f t="shared" si="3"/>
        <v>5290</v>
      </c>
      <c r="E6" s="25">
        <f t="shared" si="0"/>
        <v>0.1</v>
      </c>
      <c r="F6" s="22">
        <f t="shared" si="1"/>
        <v>529</v>
      </c>
      <c r="G6" s="22">
        <f t="shared" si="2"/>
        <v>4761</v>
      </c>
    </row>
    <row r="7" spans="1:7" x14ac:dyDescent="0.3">
      <c r="A7" s="15">
        <v>6</v>
      </c>
      <c r="B7" s="20">
        <v>10</v>
      </c>
      <c r="C7" s="15">
        <v>2</v>
      </c>
      <c r="D7" s="23">
        <f t="shared" si="3"/>
        <v>20</v>
      </c>
      <c r="E7" s="26">
        <f t="shared" si="0"/>
        <v>0</v>
      </c>
      <c r="F7" s="23">
        <f t="shared" si="1"/>
        <v>0</v>
      </c>
      <c r="G7" s="23">
        <f t="shared" si="2"/>
        <v>20</v>
      </c>
    </row>
    <row r="8" spans="1:7" x14ac:dyDescent="0.3">
      <c r="A8" s="14">
        <v>7</v>
      </c>
      <c r="B8" s="19">
        <v>5</v>
      </c>
      <c r="C8" s="14">
        <v>8</v>
      </c>
      <c r="D8" s="22">
        <f t="shared" si="3"/>
        <v>40</v>
      </c>
      <c r="E8" s="25">
        <f t="shared" si="0"/>
        <v>0</v>
      </c>
      <c r="F8" s="22">
        <f t="shared" si="1"/>
        <v>0</v>
      </c>
      <c r="G8" s="22">
        <f t="shared" si="2"/>
        <v>40</v>
      </c>
    </row>
    <row r="9" spans="1:7" x14ac:dyDescent="0.3">
      <c r="A9" s="15">
        <v>8</v>
      </c>
      <c r="B9" s="20">
        <v>5040</v>
      </c>
      <c r="C9" s="15">
        <v>1</v>
      </c>
      <c r="D9" s="23">
        <f t="shared" si="3"/>
        <v>5040</v>
      </c>
      <c r="E9" s="26">
        <f t="shared" si="0"/>
        <v>0.1</v>
      </c>
      <c r="F9" s="23">
        <f t="shared" si="1"/>
        <v>504</v>
      </c>
      <c r="G9" s="23">
        <f t="shared" si="2"/>
        <v>4536</v>
      </c>
    </row>
    <row r="10" spans="1:7" x14ac:dyDescent="0.3">
      <c r="A10" s="14">
        <v>9</v>
      </c>
      <c r="B10" s="19">
        <v>1200</v>
      </c>
      <c r="C10" s="14">
        <v>3</v>
      </c>
      <c r="D10" s="22">
        <f t="shared" si="3"/>
        <v>3600</v>
      </c>
      <c r="E10" s="25">
        <f t="shared" si="0"/>
        <v>0.1</v>
      </c>
      <c r="F10" s="22">
        <f t="shared" si="1"/>
        <v>360</v>
      </c>
      <c r="G10" s="22">
        <f t="shared" si="2"/>
        <v>3240</v>
      </c>
    </row>
    <row r="11" spans="1:7" x14ac:dyDescent="0.3">
      <c r="A11" s="15">
        <v>10</v>
      </c>
      <c r="B11" s="20">
        <v>480</v>
      </c>
      <c r="C11" s="15">
        <v>4</v>
      </c>
      <c r="D11" s="23">
        <f t="shared" si="3"/>
        <v>1920</v>
      </c>
      <c r="E11" s="26">
        <f t="shared" si="0"/>
        <v>0.1</v>
      </c>
      <c r="F11" s="23">
        <f t="shared" si="1"/>
        <v>192</v>
      </c>
      <c r="G11" s="23">
        <f t="shared" si="2"/>
        <v>1728</v>
      </c>
    </row>
    <row r="12" spans="1:7" x14ac:dyDescent="0.3">
      <c r="A12" s="14">
        <v>11</v>
      </c>
      <c r="B12" s="19">
        <v>33</v>
      </c>
      <c r="C12" s="14">
        <v>5</v>
      </c>
      <c r="D12" s="22">
        <f t="shared" si="3"/>
        <v>165</v>
      </c>
      <c r="E12" s="25">
        <f t="shared" si="0"/>
        <v>0.05</v>
      </c>
      <c r="F12" s="22">
        <f t="shared" si="1"/>
        <v>8.25</v>
      </c>
      <c r="G12" s="22">
        <f t="shared" si="2"/>
        <v>156.75</v>
      </c>
    </row>
    <row r="13" spans="1:7" x14ac:dyDescent="0.3">
      <c r="A13" s="15">
        <v>12</v>
      </c>
      <c r="B13" s="20">
        <v>1200</v>
      </c>
      <c r="C13" s="15">
        <v>2</v>
      </c>
      <c r="D13" s="23">
        <f t="shared" si="3"/>
        <v>2400</v>
      </c>
      <c r="E13" s="26">
        <f t="shared" si="0"/>
        <v>0.1</v>
      </c>
      <c r="F13" s="23">
        <f t="shared" si="1"/>
        <v>240</v>
      </c>
      <c r="G13" s="23">
        <f t="shared" si="2"/>
        <v>2160</v>
      </c>
    </row>
    <row r="14" spans="1:7" x14ac:dyDescent="0.3">
      <c r="A14" s="14">
        <v>13</v>
      </c>
      <c r="B14" s="19">
        <v>15</v>
      </c>
      <c r="C14" s="14">
        <v>10</v>
      </c>
      <c r="D14" s="22">
        <f t="shared" si="3"/>
        <v>150</v>
      </c>
      <c r="E14" s="25">
        <f t="shared" si="0"/>
        <v>0.05</v>
      </c>
      <c r="F14" s="22">
        <f t="shared" si="1"/>
        <v>7.5</v>
      </c>
      <c r="G14" s="22">
        <f t="shared" si="2"/>
        <v>142.5</v>
      </c>
    </row>
    <row r="15" spans="1:7" x14ac:dyDescent="0.3">
      <c r="A15" s="16">
        <v>14</v>
      </c>
      <c r="B15" s="21">
        <v>24</v>
      </c>
      <c r="C15" s="16">
        <v>5</v>
      </c>
      <c r="D15" s="24">
        <f t="shared" si="3"/>
        <v>120</v>
      </c>
      <c r="E15" s="27">
        <f t="shared" si="0"/>
        <v>0.05</v>
      </c>
      <c r="F15" s="24">
        <f t="shared" si="1"/>
        <v>6</v>
      </c>
      <c r="G15" s="24">
        <f t="shared" si="2"/>
        <v>114</v>
      </c>
    </row>
    <row r="17" spans="5:7" x14ac:dyDescent="0.3">
      <c r="E17" s="17" t="s">
        <v>32</v>
      </c>
      <c r="F17" s="18"/>
      <c r="G17" s="28">
        <f>SUM(G2:G15)</f>
        <v>20348.25</v>
      </c>
    </row>
    <row r="18" spans="5:7" x14ac:dyDescent="0.3">
      <c r="E18" s="17" t="s">
        <v>31</v>
      </c>
      <c r="F18" s="18"/>
      <c r="G18" s="29">
        <v>0.19</v>
      </c>
    </row>
    <row r="19" spans="5:7" x14ac:dyDescent="0.3">
      <c r="E19" s="17" t="s">
        <v>30</v>
      </c>
      <c r="F19" s="18"/>
      <c r="G19" s="30">
        <f>G17*G18</f>
        <v>3866.1675</v>
      </c>
    </row>
    <row r="20" spans="5:7" x14ac:dyDescent="0.3">
      <c r="E20" s="17" t="s">
        <v>29</v>
      </c>
      <c r="F20" s="18"/>
      <c r="G20" s="31">
        <f>G17+G19</f>
        <v>24214.4175</v>
      </c>
    </row>
  </sheetData>
  <mergeCells count="4">
    <mergeCell ref="E20:F20"/>
    <mergeCell ref="E19:F19"/>
    <mergeCell ref="E18:F18"/>
    <mergeCell ref="E17:F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3B850-BA49-4CC7-9703-E56D49229845}">
  <dimension ref="A1:C11"/>
  <sheetViews>
    <sheetView workbookViewId="0">
      <selection activeCell="D16" sqref="D16"/>
    </sheetView>
  </sheetViews>
  <sheetFormatPr defaultRowHeight="14.4" x14ac:dyDescent="0.3"/>
  <cols>
    <col min="1" max="1" width="17.77734375" customWidth="1"/>
    <col min="2" max="2" width="17.109375" customWidth="1"/>
    <col min="3" max="3" width="19.44140625" customWidth="1"/>
    <col min="4" max="4" width="12.6640625" customWidth="1"/>
  </cols>
  <sheetData>
    <row r="1" spans="1:3" ht="22.2" customHeight="1" x14ac:dyDescent="0.4">
      <c r="A1" s="32" t="s">
        <v>33</v>
      </c>
      <c r="B1" s="32" t="s">
        <v>34</v>
      </c>
      <c r="C1" s="33" t="s">
        <v>35</v>
      </c>
    </row>
    <row r="2" spans="1:3" ht="19.8" customHeight="1" x14ac:dyDescent="0.35">
      <c r="A2" s="34">
        <v>1</v>
      </c>
      <c r="B2" s="34">
        <v>5</v>
      </c>
      <c r="C2" s="36">
        <f>B2/A2</f>
        <v>5</v>
      </c>
    </row>
    <row r="3" spans="1:3" ht="18.600000000000001" customHeight="1" x14ac:dyDescent="0.35">
      <c r="A3" s="35">
        <v>2</v>
      </c>
      <c r="B3" s="35">
        <v>10</v>
      </c>
      <c r="C3" s="37">
        <f t="shared" ref="C3:C11" si="0">B3/A3</f>
        <v>5</v>
      </c>
    </row>
    <row r="4" spans="1:3" ht="20.399999999999999" customHeight="1" x14ac:dyDescent="0.35">
      <c r="A4" s="34">
        <v>3</v>
      </c>
      <c r="B4" s="34">
        <v>17</v>
      </c>
      <c r="C4" s="36">
        <f t="shared" si="0"/>
        <v>5.666666666666667</v>
      </c>
    </row>
    <row r="5" spans="1:3" ht="22.2" customHeight="1" x14ac:dyDescent="0.35">
      <c r="A5" s="35">
        <v>4</v>
      </c>
      <c r="B5" s="35">
        <v>27</v>
      </c>
      <c r="C5" s="37">
        <f t="shared" si="0"/>
        <v>6.75</v>
      </c>
    </row>
    <row r="6" spans="1:3" ht="21.6" customHeight="1" x14ac:dyDescent="0.35">
      <c r="A6" s="34">
        <v>5</v>
      </c>
      <c r="B6" s="34">
        <v>37</v>
      </c>
      <c r="C6" s="36">
        <f t="shared" si="0"/>
        <v>7.4</v>
      </c>
    </row>
    <row r="7" spans="1:3" ht="22.2" customHeight="1" x14ac:dyDescent="0.35">
      <c r="A7" s="35">
        <v>6</v>
      </c>
      <c r="B7" s="35">
        <v>49</v>
      </c>
      <c r="C7" s="37">
        <f t="shared" si="0"/>
        <v>8.1666666666666661</v>
      </c>
    </row>
    <row r="8" spans="1:3" ht="21" customHeight="1" x14ac:dyDescent="0.35">
      <c r="A8" s="34">
        <v>7</v>
      </c>
      <c r="B8" s="34">
        <v>63</v>
      </c>
      <c r="C8" s="36">
        <f t="shared" si="0"/>
        <v>9</v>
      </c>
    </row>
    <row r="9" spans="1:3" ht="21.6" customHeight="1" x14ac:dyDescent="0.35">
      <c r="A9" s="35">
        <v>8</v>
      </c>
      <c r="B9" s="35">
        <v>75</v>
      </c>
      <c r="C9" s="37">
        <f t="shared" si="0"/>
        <v>9.375</v>
      </c>
    </row>
    <row r="10" spans="1:3" ht="20.399999999999999" customHeight="1" x14ac:dyDescent="0.35">
      <c r="A10" s="34">
        <v>9</v>
      </c>
      <c r="B10" s="34">
        <v>83</v>
      </c>
      <c r="C10" s="36">
        <f t="shared" si="0"/>
        <v>9.2222222222222214</v>
      </c>
    </row>
    <row r="11" spans="1:3" ht="23.4" customHeight="1" x14ac:dyDescent="0.35">
      <c r="A11" s="38">
        <v>10</v>
      </c>
      <c r="B11" s="38">
        <v>91</v>
      </c>
      <c r="C11" s="38">
        <f t="shared" si="0"/>
        <v>9.1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</vt:lpstr>
      <vt:lpstr>Table1</vt:lpstr>
      <vt:lpstr>Table2</vt:lpstr>
      <vt:lpstr>Table3</vt:lpstr>
      <vt:lpstr>Q3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djaber guellil</dc:creator>
  <cp:lastModifiedBy>djaber guellil</cp:lastModifiedBy>
  <dcterms:created xsi:type="dcterms:W3CDTF">2025-12-26T20:35:26Z</dcterms:created>
  <dcterms:modified xsi:type="dcterms:W3CDTF">2025-12-26T22:59:57Z</dcterms:modified>
</cp:coreProperties>
</file>